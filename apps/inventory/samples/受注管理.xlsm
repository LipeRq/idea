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ms-excel.sheet.macroEnabled.main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 defaultThemeVersion="164011"/>
  <bookViews>
    <workbookView xWindow="0" yWindow="0" windowWidth="28800" windowHeight="12300"/>
  </bookViews>
  <sheets>
    <sheet name="メニュー" sheetId="1" r:id="rId1"/>
    <sheet name="受注一覧" sheetId="2" r:id="rId2"/>
    <sheet name="顧客マスタ" sheetId="3" r:id="rId3"/>
    <sheet name="商品マスタ" sheetId="4" r:id="rId4"/>
    <sheet name="請求書" sheetId="5" state="hidden" r:id="rId5"/>
    <sheet name="設定" sheetId="6" state="hidden" r:id="rId6"/>
  </sheets>
  <definedNames>
    <definedName name="_xlnm.Print_Area" localSheetId="4">請求書!$A$1:$H$32</definedName>
    <definedName name="最終受注番号">設定!$B$2</definedName>
    <definedName name="消費税率">設定!$B$3</definedName>
  </definedNames>
  <calcPr calcId="191029"/>
</workbook>
</file>

<file path=xl/styles.xml><?xml version="1.0" encoding="utf-8"?>
<styleSheet xmlns="http://schemas.openxmlformats.org/spreadsheetml/2006/main">
  <fonts count="1">
    <font>
      <sz val="11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styles" Target="styles.xml"/><Relationship Id="rId8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3</xdr:col>
      <xdr:colOff>0</xdr:colOff>
      <xdr:row>10</xdr:row>
      <xdr:rowOff>0</xdr:rowOff>
    </xdr:to>
    <xdr:sp macro="[0]!請求書発行" textlink="">
      <xdr:nvSpPr>
        <xdr:cNvPr id="2" name="角丸四角形 1"/>
        <xdr:cNvSpPr/>
      </xdr:nvSpPr>
      <xdr:spPr>
        <a:prstGeom prst="roundRect">
          <a:avLst/>
        </a:prstGeom>
        <a:solidFill>
          <a:srgbClr val="4472C4"/>
        </a:solidFill>
      </xdr:spPr>
      <xdr:txBody>
        <a:bodyPr vertOverflow="clip" rtlCol="0" anchor="ctr"/>
        <a:lstStyle/>
        <a:p>
          <a:pPr algn="ctr"/>
          <a:r>
            <a:rPr lang="ja-JP" altLang="en-US" sz="1400">
              <a:solidFill>
                <a:srgbClr val="FFFFFF"/>
              </a:solidFill>
            </a:rPr>
            <a:t>請求書発行</a:t>
          </a:r>
        </a:p>
      </xdr:txBody>
    </xdr:sp>
    <xdr:clientData/>
  </xdr:twoCellAnchor>
</xdr:wsDr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1"/>
  <dimension ref="A1:B16"/>
  <sheetViews>
    <sheetView workbookViewId="0"/>
  </sheetViews>
  <sheetFormatPr defaultRowHeight="18.75"/>
  <cols>
    <col min="1" max="1" width="3" customWidth="1"/>
    <col min="2" max="2" width="40" customWidth="1"/>
  </cols>
  <sheetData>
    <row r="2">
      <c r="B2" t="inlineStr">
        <is>
          <t>受注管理システム</t>
        </is>
      </c>
    </row>
    <row r="3">
      <c r="B3" t="inlineStr">
        <is>
          <t>(ボタンを押して操作してください)</t>
        </is>
      </c>
    </row>
    <row r="16">
      <c r="B16" t="inlineStr">
        <is>
          <t>※月末締めは経理に確認してから押すこと</t>
        </is>
      </c>
    </row>
  </sheetData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1025" r:id="rId3" name="Button 1">
              <controlPr defaultSize="0" print="0" autoFill="0" autoPict="0" macro="[0]!受注入力画面を開く">
                <anchor moveWithCells="1" sizeWithCells="1">
                  <xdr:from>
                    <xdr:col>1</xdr:col>
                    <xdr:colOff>0</xdr:colOff>
                    <xdr:row>4</xdr:row>
                    <xdr:rowOff>0</xdr:rowOff>
                  </xdr:from>
                  <xdr:to>
                    <xdr:col>3</xdr:col>
                    <xdr:colOff>0</xdr:colOff>
                    <xdr:row>6</xdr:row>
                    <xdr:rowOff>0</xdr:rowOff>
                  </xdr:to>
                </anchor>
              </controlPr>
            </control>
          </mc:Choice>
        </mc:AlternateContent>
        <mc:AlternateContent>
          <mc:Choice Requires="x14">
            <control shapeId="1026" r:id="rId4" name="Button 2">
              <controlPr defaultSize="0" print="0" autoFill="0" autoPict="0" macro="[0]!月末締め">
                <anchor moveWithCells="1" sizeWithCells="1">
                  <xdr:from>
                    <xdr:col>1</xdr:col>
                    <xdr:colOff>0</xdr:colOff>
                    <xdr:row>12</xdr:row>
                    <xdr:rowOff>0</xdr:rowOff>
                  </xdr:from>
                  <xdr:to>
                    <xdr:col>3</xdr:col>
                    <xdr:colOff>0</xdr:colOff>
                    <xdr:row>14</xdr:row>
                    <xdr:rowOff>0</xdr:rowOff>
                  </xdr: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2"/>
  <dimension ref="A1:I24"/>
  <sheetViews>
    <sheetView workbookViewId="0"/>
  </sheetViews>
  <sheetFormatPr defaultRowHeight="18.75"/>
  <sheetData>
    <row r="2">
      <c r="A2" t="inlineStr">
        <is>
          <t>受注一覧</t>
        </is>
      </c>
    </row>
    <row r="4">
      <c r="A4" t="inlineStr">
        <is>
          <t>受注番号</t>
        </is>
      </c>
      <c r="B4" t="inlineStr">
        <is>
          <t>受注日</t>
        </is>
      </c>
      <c r="C4" t="inlineStr">
        <is>
          <t>顧客コード</t>
        </is>
      </c>
      <c r="D4" t="inlineStr">
        <is>
          <t>商品コード</t>
        </is>
      </c>
      <c r="E4" t="inlineStr">
        <is>
          <t>単価</t>
        </is>
      </c>
      <c r="F4" t="inlineStr">
        <is>
          <t>数量</t>
        </is>
      </c>
      <c r="G4" t="inlineStr">
        <is>
          <t>金額</t>
        </is>
      </c>
      <c r="H4" t="inlineStr">
        <is>
          <t>税込金額</t>
        </is>
      </c>
      <c r="I4" t="inlineStr">
        <is>
          <t>締め</t>
        </is>
      </c>
    </row>
    <row r="5">
      <c r="A5" t="inlineStr">
        <is>
          <t>J2403-0126</t>
        </is>
      </c>
      <c r="B5" t="inlineStr">
        <is>
          <t>2024/03/04</t>
        </is>
      </c>
      <c r="C5" t="inlineStr">
        <is>
          <t>C0012</t>
        </is>
      </c>
      <c r="D5" t="inlineStr">
        <is>
          <t>P-1001</t>
        </is>
      </c>
      <c r="E5">
        <f t="shared" ref="E5:E24" si="0">IFERROR(VLOOKUP(D5,商品マスタ!$A:$C,3,FALSE),"")</f>
      </c>
      <c r="F5">
        <v>20</v>
      </c>
      <c r="G5">
        <f t="shared" ref="G5:G24" si="1">IF(E5="","",E5*F5)</f>
      </c>
      <c r="H5">
        <f t="shared" ref="H5:H24" si="2">IF(G5="","",ROUNDDOWN(G5*(1+消費税率),0))</f>
      </c>
    </row>
    <row r="6">
      <c r="A6" t="inlineStr">
        <is>
          <t>J2403-0127</t>
        </is>
      </c>
      <c r="B6" t="inlineStr">
        <is>
          <t>2024/03/05</t>
        </is>
      </c>
      <c r="C6" t="inlineStr">
        <is>
          <t>C0031</t>
        </is>
      </c>
      <c r="D6" t="inlineStr">
        <is>
          <t>P-2040</t>
        </is>
      </c>
      <c r="E6">
        <f t="shared" si="0"/>
      </c>
      <c r="F6">
        <v>5</v>
      </c>
      <c r="G6">
        <f t="shared" si="1"/>
      </c>
      <c r="H6">
        <f t="shared" si="2"/>
      </c>
    </row>
    <row r="7">
      <c r="A7" t="inlineStr">
        <is>
          <t>J2403-0128</t>
        </is>
      </c>
      <c r="B7" t="inlineStr">
        <is>
          <t>2024/03/05</t>
        </is>
      </c>
      <c r="C7" t="inlineStr">
        <is>
          <t>C0012</t>
        </is>
      </c>
      <c r="D7" t="inlineStr">
        <is>
          <t>P-1003</t>
        </is>
      </c>
      <c r="E7">
        <f t="shared" si="0"/>
      </c>
      <c r="F7">
        <v>12</v>
      </c>
      <c r="G7">
        <f t="shared" si="1"/>
      </c>
      <c r="H7">
        <f t="shared" si="2"/>
      </c>
    </row>
    <row r="8">
      <c r="E8">
        <f t="shared" si="0"/>
      </c>
      <c r="G8">
        <f t="shared" si="1"/>
      </c>
      <c r="H8">
        <f t="shared" si="2"/>
      </c>
    </row>
    <row r="9">
      <c r="E9">
        <f t="shared" si="0"/>
      </c>
      <c r="G9">
        <f t="shared" si="1"/>
      </c>
      <c r="H9">
        <f t="shared" si="2"/>
      </c>
    </row>
    <row r="10">
      <c r="E10">
        <f t="shared" si="0"/>
      </c>
      <c r="G10">
        <f t="shared" si="1"/>
      </c>
      <c r="H10">
        <f t="shared" si="2"/>
      </c>
    </row>
    <row r="11">
      <c r="E11">
        <f t="shared" si="0"/>
      </c>
      <c r="G11">
        <f t="shared" si="1"/>
      </c>
      <c r="H11">
        <f t="shared" si="2"/>
      </c>
    </row>
    <row r="12">
      <c r="E12">
        <f t="shared" si="0"/>
      </c>
      <c r="G12">
        <f t="shared" si="1"/>
      </c>
      <c r="H12">
        <f t="shared" si="2"/>
      </c>
    </row>
    <row r="13">
      <c r="E13">
        <f t="shared" si="0"/>
      </c>
      <c r="G13">
        <f t="shared" si="1"/>
      </c>
      <c r="H13">
        <f t="shared" si="2"/>
      </c>
    </row>
    <row r="14">
      <c r="E14">
        <f t="shared" si="0"/>
      </c>
      <c r="G14">
        <f t="shared" si="1"/>
      </c>
      <c r="H14">
        <f t="shared" si="2"/>
      </c>
    </row>
    <row r="15">
      <c r="E15">
        <f t="shared" si="0"/>
      </c>
      <c r="G15">
        <f t="shared" si="1"/>
      </c>
      <c r="H15">
        <f t="shared" si="2"/>
      </c>
    </row>
    <row r="16">
      <c r="E16">
        <f t="shared" si="0"/>
      </c>
      <c r="G16">
        <f t="shared" si="1"/>
      </c>
      <c r="H16">
        <f t="shared" si="2"/>
      </c>
    </row>
    <row r="17">
      <c r="E17">
        <f t="shared" si="0"/>
      </c>
      <c r="G17">
        <f t="shared" si="1"/>
      </c>
      <c r="H17">
        <f t="shared" si="2"/>
      </c>
    </row>
    <row r="18">
      <c r="E18">
        <f t="shared" si="0"/>
      </c>
      <c r="G18">
        <f t="shared" si="1"/>
      </c>
      <c r="H18">
        <f t="shared" si="2"/>
      </c>
    </row>
    <row r="19">
      <c r="E19">
        <f t="shared" si="0"/>
      </c>
      <c r="G19">
        <f t="shared" si="1"/>
      </c>
      <c r="H19">
        <f t="shared" si="2"/>
      </c>
    </row>
    <row r="20">
      <c r="E20">
        <f t="shared" si="0"/>
      </c>
      <c r="G20">
        <f t="shared" si="1"/>
      </c>
      <c r="H20">
        <f t="shared" si="2"/>
      </c>
    </row>
    <row r="21">
      <c r="E21">
        <f t="shared" si="0"/>
      </c>
      <c r="G21">
        <f t="shared" si="1"/>
      </c>
      <c r="H21">
        <f t="shared" si="2"/>
      </c>
    </row>
    <row r="22">
      <c r="E22">
        <f t="shared" si="0"/>
      </c>
      <c r="G22">
        <f t="shared" si="1"/>
      </c>
      <c r="H22">
        <f t="shared" si="2"/>
      </c>
    </row>
    <row r="23">
      <c r="E23">
        <f t="shared" si="0"/>
      </c>
      <c r="G23">
        <f t="shared" si="1"/>
      </c>
      <c r="H23">
        <f t="shared" si="2"/>
      </c>
    </row>
    <row r="24">
      <c r="E24">
        <f t="shared" si="0"/>
      </c>
      <c r="G24">
        <f t="shared" si="1"/>
      </c>
      <c r="H24">
        <f t="shared" si="2"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3"/>
  <dimension ref="A1:D16"/>
  <sheetViews>
    <sheetView workbookViewId="0"/>
  </sheetViews>
  <sheetFormatPr defaultRowHeight="18.75"/>
  <sheetData>
    <row r="1">
      <c r="A1" t="inlineStr">
        <is>
          <t>顧客コード</t>
        </is>
      </c>
      <c r="B1" t="inlineStr">
        <is>
          <t>顧客名</t>
        </is>
      </c>
      <c r="C1" t="inlineStr">
        <is>
          <t>締日</t>
        </is>
      </c>
      <c r="D1" t="inlineStr">
        <is>
          <t>未請求額</t>
        </is>
      </c>
    </row>
    <row r="2">
      <c r="A2" t="inlineStr">
        <is>
          <t>C0012</t>
        </is>
      </c>
      <c r="B2" t="inlineStr">
        <is>
          <t>サンプル電機株式会社</t>
        </is>
      </c>
      <c r="C2" t="inlineStr">
        <is>
          <t>末日</t>
        </is>
      </c>
      <c r="D2">
        <f t="shared" ref="D2:D16" si="0">顧客の未請求額(A2)</f>
      </c>
    </row>
    <row r="3">
      <c r="A3" t="inlineStr">
        <is>
          <t>C0031</t>
        </is>
      </c>
      <c r="B3" t="inlineStr">
        <is>
          <t>テスト工業株式会社</t>
        </is>
      </c>
      <c r="C3" t="inlineStr">
        <is>
          <t>20日</t>
        </is>
      </c>
      <c r="D3">
        <f t="shared" si="0"/>
      </c>
    </row>
    <row r="4">
      <c r="A4" t="inlineStr">
        <is>
          <t>C0045</t>
        </is>
      </c>
      <c r="B4" t="inlineStr">
        <is>
          <t>架空商事株式会社</t>
        </is>
      </c>
      <c r="C4" t="inlineStr">
        <is>
          <t>末日</t>
        </is>
      </c>
      <c r="D4">
        <f t="shared" si="0"/>
      </c>
    </row>
    <row r="5">
      <c r="D5">
        <f t="shared" si="0"/>
      </c>
    </row>
    <row r="6">
      <c r="D6">
        <f t="shared" si="0"/>
      </c>
    </row>
    <row r="7">
      <c r="D7">
        <f t="shared" si="0"/>
      </c>
    </row>
    <row r="8">
      <c r="D8">
        <f t="shared" si="0"/>
      </c>
    </row>
    <row r="9">
      <c r="D9">
        <f t="shared" si="0"/>
      </c>
    </row>
    <row r="10">
      <c r="D10">
        <f t="shared" si="0"/>
      </c>
    </row>
    <row r="11">
      <c r="D11">
        <f t="shared" si="0"/>
      </c>
    </row>
    <row r="12">
      <c r="D12">
        <f t="shared" si="0"/>
      </c>
    </row>
    <row r="13">
      <c r="D13">
        <f t="shared" si="0"/>
      </c>
    </row>
    <row r="14">
      <c r="D14">
        <f t="shared" si="0"/>
      </c>
    </row>
    <row r="15">
      <c r="D15">
        <f t="shared" si="0"/>
      </c>
    </row>
    <row r="16">
      <c r="D16">
        <f t="shared" si="0"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4"/>
  <dimension ref="A1:C4"/>
  <sheetViews>
    <sheetView workbookViewId="0"/>
  </sheetViews>
  <sheetFormatPr defaultRowHeight="18.75"/>
  <sheetData>
    <row r="1">
      <c r="A1" t="inlineStr">
        <is>
          <t>商品コード</t>
        </is>
      </c>
      <c r="B1" t="inlineStr">
        <is>
          <t>商品名</t>
        </is>
      </c>
      <c r="C1" t="inlineStr">
        <is>
          <t>単価</t>
        </is>
      </c>
    </row>
    <row r="2">
      <c r="A2" t="inlineStr">
        <is>
          <t>P-1001</t>
        </is>
      </c>
      <c r="B2" t="inlineStr">
        <is>
          <t>精密シャフト φ10</t>
        </is>
      </c>
      <c r="C2">
        <v>1200</v>
      </c>
    </row>
    <row r="3">
      <c r="A3" t="inlineStr">
        <is>
          <t>P-1003</t>
        </is>
      </c>
      <c r="B3" t="inlineStr">
        <is>
          <t>精密シャフト φ12</t>
        </is>
      </c>
      <c r="C3">
        <v>1450</v>
      </c>
    </row>
    <row r="4">
      <c r="A4" t="inlineStr">
        <is>
          <t>P-2040</t>
        </is>
      </c>
      <c r="B4" t="inlineStr">
        <is>
          <t>アルミブラケット(小)</t>
        </is>
      </c>
      <c r="C4">
        <v>680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5"/>
  <dimension ref="A1:G29"/>
  <sheetViews>
    <sheetView workbookViewId="0"/>
  </sheetViews>
  <sheetFormatPr defaultRowHeight="18.75"/>
  <sheetData>
    <row r="2">
      <c r="B2" t="inlineStr">
        <is>
          <t>御請求書</t>
        </is>
      </c>
    </row>
    <row r="3">
      <c r="G3" t="inlineStr">
        <is>
          <t>発行日</t>
        </is>
      </c>
    </row>
    <row r="5">
      <c r="B5">
        <f>IFERROR(VLOOKUP(B4,顧客マスタ!$A:$B,2,FALSE),"")</f>
      </c>
    </row>
    <row r="8">
      <c r="B8" t="inlineStr">
        <is>
          <t>ご請求金額</t>
        </is>
      </c>
      <c r="C8">
        <f>G29</f>
      </c>
    </row>
    <row r="11">
      <c r="B11" t="inlineStr">
        <is>
          <t>商品コード</t>
        </is>
      </c>
      <c r="C11" t="inlineStr">
        <is>
          <t/>
        </is>
      </c>
      <c r="D11" t="inlineStr">
        <is>
          <t/>
        </is>
      </c>
      <c r="E11" t="inlineStr">
        <is>
          <t>数量</t>
        </is>
      </c>
      <c r="F11" t="inlineStr">
        <is>
          <t>単価</t>
        </is>
      </c>
      <c r="G11" t="inlineStr">
        <is>
          <t>金額</t>
        </is>
      </c>
    </row>
    <row r="12">
      <c r="G12">
        <f t="shared" ref="G12:G26" si="0">IF(E12="","",E12*F12)</f>
      </c>
    </row>
    <row r="13">
      <c r="G13">
        <f t="shared" si="0"/>
      </c>
    </row>
    <row r="14">
      <c r="G14">
        <f t="shared" si="0"/>
      </c>
    </row>
    <row r="15">
      <c r="G15">
        <f t="shared" si="0"/>
      </c>
    </row>
    <row r="16">
      <c r="G16">
        <f t="shared" si="0"/>
      </c>
    </row>
    <row r="17">
      <c r="G17">
        <f t="shared" si="0"/>
      </c>
    </row>
    <row r="18">
      <c r="G18">
        <f t="shared" si="0"/>
      </c>
    </row>
    <row r="19">
      <c r="G19">
        <f t="shared" si="0"/>
      </c>
    </row>
    <row r="20">
      <c r="G20">
        <f t="shared" si="0"/>
      </c>
    </row>
    <row r="21">
      <c r="G21">
        <f t="shared" si="0"/>
      </c>
    </row>
    <row r="22">
      <c r="G22">
        <f t="shared" si="0"/>
      </c>
    </row>
    <row r="23">
      <c r="G23">
        <f t="shared" si="0"/>
      </c>
    </row>
    <row r="24">
      <c r="G24">
        <f t="shared" si="0"/>
      </c>
    </row>
    <row r="25">
      <c r="G25">
        <f t="shared" si="0"/>
      </c>
    </row>
    <row r="26">
      <c r="G26">
        <f t="shared" si="0"/>
      </c>
    </row>
    <row r="27">
      <c r="F27" t="inlineStr">
        <is>
          <t>小計</t>
        </is>
      </c>
      <c r="G27">
        <f>SUM(G12:G26)</f>
      </c>
    </row>
    <row r="28">
      <c r="F28" t="inlineStr">
        <is>
          <t>消費税</t>
        </is>
      </c>
      <c r="G28">
        <f>ROUNDDOWN(G27*消費税率,0)</f>
      </c>
    </row>
    <row r="29">
      <c r="F29" t="inlineStr">
        <is>
          <t>合計</t>
        </is>
      </c>
      <c r="G29">
        <f>G27+G28</f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dr="http://schemas.openxmlformats.org/drawingml/2006/spreadsheetDrawing" mc:Ignorable="x14">
  <sheetPr codeName="Sheet6"/>
  <dimension ref="A1:B4"/>
  <sheetViews>
    <sheetView workbookViewId="0"/>
  </sheetViews>
  <sheetFormatPr defaultRowHeight="18.75"/>
  <sheetData>
    <row r="2">
      <c r="A2" t="inlineStr">
        <is>
          <t>最終受注番号</t>
        </is>
      </c>
      <c r="B2">
        <v>128</v>
      </c>
    </row>
    <row r="3">
      <c r="A3" t="inlineStr">
        <is>
          <t>消費税率</t>
        </is>
      </c>
      <c r="B3">
        <v>0.1</v>
      </c>
    </row>
    <row r="4">
      <c r="A4" t="inlineStr">
        <is>
          <t>請求書保存先</t>
        </is>
      </c>
      <c r="B4" t="inlineStr">
        <is>
          <t>\\fileserver01\営業部\請求書\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DocSecurity>0</DocSecurity>
  <Company>株式会社サンプル精工</Company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受注管理</dc:title>
  <dc:creator>山田太郎</dc:creator>
  <cp:lastModifiedBy>佐藤花子</cp:lastModifiedBy>
  <dcterms:created xsi:type="dcterms:W3CDTF">2014-04-01T09:12:00Z</dcterms:created>
  <dcterms:modified xsi:type="dcterms:W3CDTF">2022-03-28T17:45:00Z</dcterms:modified>
</cp:coreProperties>
</file>