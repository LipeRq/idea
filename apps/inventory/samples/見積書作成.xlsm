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1.xml" ContentType="application/vnd.ms-excel.controlproperties+xml"/>
  <Override PartName="/xl/ctrlProps/ctrlProp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4011"/>
  <bookViews>
    <workbookView xWindow="0" yWindow="0" windowWidth="28800" windowHeight="12300"/>
  </bookViews>
  <sheets>
    <sheet name="見積書" sheetId="1" r:id="rId1"/>
    <sheet name="単価表" sheetId="2" r:id="rId2"/>
    <sheet name="見積履歴" sheetId="3" r:id="rId3"/>
  </sheets>
  <definedNames>
    <definedName name="_xlnm.Print_Area" localSheetId="0">見積書!$A$1:$H$42</definedName>
    <definedName name="掛率">見積書!$H$8</definedName>
    <definedName name="利益率">単価表!$G$2</definedName>
    <definedName name="消費税率">0.1</definedName>
  </definedNames>
  <calcPr calcId="191029"/>
</workbook>
</file>

<file path=xl/styles.xml><?xml version="1.0" encoding="utf-8"?>
<styleSheet xmlns="http://schemas.openxmlformats.org/spreadsheetml/2006/main">
  <fonts count="1">
    <font>
      <sz val="1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styles" Target="styles.xml"/><Relationship Id="rId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trlProp" Target="../ctrlProps/ctrlProp1.x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1"/>
  <dimension ref="A1:H40"/>
  <sheetViews>
    <sheetView workbookViewId="0"/>
  </sheetViews>
  <sheetFormatPr defaultRowHeight="18.75"/>
  <cols>
    <col min="2" max="2" width="14" customWidth="1"/>
    <col min="3" max="3" width="30" customWidth="1"/>
  </cols>
  <sheetData>
    <row r="2">
      <c r="D2" t="inlineStr">
        <is>
          <t>御見積書</t>
        </is>
      </c>
    </row>
    <row r="3">
      <c r="G3" t="inlineStr">
        <is>
          <t>見積番号</t>
        </is>
      </c>
    </row>
    <row r="4">
      <c r="G4" t="inlineStr">
        <is>
          <t>見積日</t>
        </is>
      </c>
    </row>
    <row r="5">
      <c r="B5" t="inlineStr">
        <is>
          <t>宛先</t>
        </is>
      </c>
    </row>
    <row r="6">
      <c r="B6" t="inlineStr">
        <is>
          <t>件名</t>
        </is>
      </c>
    </row>
    <row r="7">
      <c r="B7" t="inlineStr">
        <is>
          <t>納期</t>
        </is>
      </c>
    </row>
    <row r="8">
      <c r="B8" t="inlineStr">
        <is>
          <t>有効期限</t>
        </is>
      </c>
      <c r="G8" t="inlineStr">
        <is>
          <t>掛率</t>
        </is>
      </c>
      <c r="H8">
        <v>1</v>
      </c>
    </row>
    <row r="10">
      <c r="B10" t="inlineStr">
        <is>
          <t>御見積金額</t>
        </is>
      </c>
      <c r="C10">
        <f>TEXT(G40,"#,##0")&amp;"円(税込)"</f>
      </c>
    </row>
    <row r="14">
      <c r="B14" t="inlineStr">
        <is>
          <t>品番</t>
        </is>
      </c>
      <c r="C14" t="inlineStr">
        <is>
          <t>品名</t>
        </is>
      </c>
      <c r="D14" t="inlineStr">
        <is>
          <t>仕様</t>
        </is>
      </c>
      <c r="E14" t="inlineStr">
        <is>
          <t>数量</t>
        </is>
      </c>
      <c r="F14" t="inlineStr">
        <is>
          <t>単価</t>
        </is>
      </c>
      <c r="G14" t="inlineStr">
        <is>
          <t>金額</t>
        </is>
      </c>
    </row>
    <row r="15">
      <c r="C15">
        <f t="shared" ref="C15:C34" si="0">IF(B15="","",IFERROR(VLOOKUP(B15,単価表!$A$5:$D$200,2,FALSE),"品番なし"))</f>
      </c>
      <c r="D15">
        <f t="shared" ref="D15:D34" si="1">IF(B15="","",IFERROR(VLOOKUP(B15,単価表!$A$5:$D$200,3,FALSE),""))</f>
      </c>
      <c r="F15">
        <f t="shared" ref="F15:F34" si="2">IF(B15="","",IFERROR(ROUND(VLOOKUP(B15,単価表!$A$5:$D$200,4,FALSE)*掛率,0),0))</f>
      </c>
      <c r="G15">
        <f t="shared" ref="G15:G34" si="3">IF(OR(E15="",F15=""),"",E15*F15)</f>
      </c>
    </row>
    <row r="16">
      <c r="C16">
        <f t="shared" si="0"/>
      </c>
      <c r="D16">
        <f t="shared" si="1"/>
      </c>
      <c r="F16">
        <f t="shared" si="2"/>
      </c>
      <c r="G16">
        <f t="shared" si="3"/>
      </c>
    </row>
    <row r="17">
      <c r="C17">
        <f t="shared" si="0"/>
      </c>
      <c r="D17">
        <f t="shared" si="1"/>
      </c>
      <c r="F17">
        <f t="shared" si="2"/>
      </c>
      <c r="G17">
        <f t="shared" si="3"/>
      </c>
    </row>
    <row r="18">
      <c r="C18">
        <f t="shared" si="0"/>
      </c>
      <c r="D18">
        <f t="shared" si="1"/>
      </c>
      <c r="F18">
        <f t="shared" si="2"/>
      </c>
      <c r="G18">
        <f t="shared" si="3"/>
      </c>
    </row>
    <row r="19">
      <c r="C19">
        <f t="shared" si="0"/>
      </c>
      <c r="D19">
        <f t="shared" si="1"/>
      </c>
      <c r="F19">
        <f t="shared" si="2"/>
      </c>
      <c r="G19">
        <f t="shared" si="3"/>
      </c>
    </row>
    <row r="20">
      <c r="C20">
        <f t="shared" si="0"/>
      </c>
      <c r="D20">
        <f t="shared" si="1"/>
      </c>
      <c r="F20">
        <f t="shared" si="2"/>
      </c>
      <c r="G20">
        <f t="shared" si="3"/>
      </c>
    </row>
    <row r="21">
      <c r="C21">
        <f t="shared" si="0"/>
      </c>
      <c r="D21">
        <f t="shared" si="1"/>
      </c>
      <c r="F21">
        <f t="shared" si="2"/>
      </c>
      <c r="G21">
        <f t="shared" si="3"/>
      </c>
    </row>
    <row r="22">
      <c r="C22">
        <f t="shared" si="0"/>
      </c>
      <c r="D22">
        <f t="shared" si="1"/>
      </c>
      <c r="F22">
        <f t="shared" si="2"/>
      </c>
      <c r="G22">
        <f t="shared" si="3"/>
      </c>
    </row>
    <row r="23">
      <c r="C23">
        <f t="shared" si="0"/>
      </c>
      <c r="D23">
        <f t="shared" si="1"/>
      </c>
      <c r="F23">
        <f t="shared" si="2"/>
      </c>
      <c r="G23">
        <f t="shared" si="3"/>
      </c>
    </row>
    <row r="24">
      <c r="C24">
        <f t="shared" si="0"/>
      </c>
      <c r="D24">
        <f t="shared" si="1"/>
      </c>
      <c r="F24">
        <f t="shared" si="2"/>
      </c>
      <c r="G24">
        <f t="shared" si="3"/>
      </c>
    </row>
    <row r="25">
      <c r="C25">
        <f t="shared" si="0"/>
      </c>
      <c r="D25">
        <f t="shared" si="1"/>
      </c>
      <c r="F25">
        <f t="shared" si="2"/>
      </c>
      <c r="G25">
        <f t="shared" si="3"/>
      </c>
    </row>
    <row r="26">
      <c r="C26">
        <f t="shared" si="0"/>
      </c>
      <c r="D26">
        <f t="shared" si="1"/>
      </c>
      <c r="F26">
        <f t="shared" si="2"/>
      </c>
      <c r="G26">
        <f t="shared" si="3"/>
      </c>
    </row>
    <row r="27">
      <c r="C27">
        <f t="shared" si="0"/>
      </c>
      <c r="D27">
        <f t="shared" si="1"/>
      </c>
      <c r="F27">
        <f t="shared" si="2"/>
      </c>
      <c r="G27">
        <f t="shared" si="3"/>
      </c>
    </row>
    <row r="28">
      <c r="C28">
        <f t="shared" si="0"/>
      </c>
      <c r="D28">
        <f t="shared" si="1"/>
      </c>
      <c r="F28">
        <f t="shared" si="2"/>
      </c>
      <c r="G28">
        <f t="shared" si="3"/>
      </c>
    </row>
    <row r="29">
      <c r="C29">
        <f t="shared" si="0"/>
      </c>
      <c r="D29">
        <f t="shared" si="1"/>
      </c>
      <c r="F29">
        <f t="shared" si="2"/>
      </c>
      <c r="G29">
        <f t="shared" si="3"/>
      </c>
    </row>
    <row r="30">
      <c r="C30">
        <f t="shared" si="0"/>
      </c>
      <c r="D30">
        <f t="shared" si="1"/>
      </c>
      <c r="F30">
        <f t="shared" si="2"/>
      </c>
      <c r="G30">
        <f t="shared" si="3"/>
      </c>
    </row>
    <row r="31">
      <c r="C31">
        <f t="shared" si="0"/>
      </c>
      <c r="D31">
        <f t="shared" si="1"/>
      </c>
      <c r="F31">
        <f t="shared" si="2"/>
      </c>
      <c r="G31">
        <f t="shared" si="3"/>
      </c>
    </row>
    <row r="32">
      <c r="C32">
        <f t="shared" si="0"/>
      </c>
      <c r="D32">
        <f t="shared" si="1"/>
      </c>
      <c r="F32">
        <f t="shared" si="2"/>
      </c>
      <c r="G32">
        <f t="shared" si="3"/>
      </c>
    </row>
    <row r="33">
      <c r="C33">
        <f t="shared" si="0"/>
      </c>
      <c r="D33">
        <f t="shared" si="1"/>
      </c>
      <c r="F33">
        <f t="shared" si="2"/>
      </c>
      <c r="G33">
        <f t="shared" si="3"/>
      </c>
    </row>
    <row r="34">
      <c r="C34">
        <f t="shared" si="0"/>
      </c>
      <c r="D34">
        <f t="shared" si="1"/>
      </c>
      <c r="F34">
        <f t="shared" si="2"/>
      </c>
      <c r="G34">
        <f t="shared" si="3"/>
      </c>
    </row>
    <row r="37">
      <c r="F37" t="inlineStr">
        <is>
          <t>小計</t>
        </is>
      </c>
      <c r="G37">
        <f>SUM(G15:G34)</f>
      </c>
    </row>
    <row r="38">
      <c r="F38" t="inlineStr">
        <is>
          <t>消費税</t>
        </is>
      </c>
      <c r="G38">
        <f>ROUNDDOWN(G37*消費税率,0)</f>
      </c>
    </row>
    <row r="40">
      <c r="F40" t="inlineStr">
        <is>
          <t>合計</t>
        </is>
      </c>
      <c r="G40">
        <f>G37+G38</f>
      </c>
    </row>
  </sheetData>
  <pageMargins left="0.7" right="0.7" top="0.75" bottom="0.75" header="0.3" footer="0.3"/>
  <legacyDrawing r:id="rId1"/>
  <mc:AlternateContent>
    <mc:Choice Requires="x14">
      <controls>
        <mc:AlternateContent>
          <mc:Choice Requires="x14">
            <control shapeId="1025" r:id="rId2" name="Button 1">
              <controlPr defaultSize="0" print="0" autoFill="0" autoPict="0" macro="[0]!新しい見積書">
                <anchor moveWithCells="1" sizeWithCells="1">
                  <xdr:from>
                    <xdr:col>9</xdr:col>
                    <xdr:colOff>0</xdr:colOff>
                    <xdr:row>2</xdr:row>
                    <xdr:rowOff>0</xdr:rowOff>
                  </xdr:from>
                  <xdr:to>
                    <xdr:col>11</xdr:col>
                    <xdr:colOff>0</xdr:colOff>
                    <xdr:row>4</xdr:row>
                    <xdr:rowOff>0</xdr:rowOff>
                  </xdr:to>
                </anchor>
              </controlPr>
            </control>
          </mc:Choice>
        </mc:AlternateContent>
        <mc:AlternateContent>
          <mc:Choice Requires="x14">
            <control shapeId="1026" r:id="rId3" name="Button 2">
              <controlPr defaultSize="0" print="0" autoFill="0" autoPict="0" macro="[0]!PDFで保存">
                <anchor moveWithCells="1" sizeWithCells="1">
                  <xdr:from>
                    <xdr:col>9</xdr:col>
                    <xdr:colOff>0</xdr:colOff>
                    <xdr:row>5</xdr:row>
                    <xdr:rowOff>0</xdr:rowOff>
                  </xdr:from>
                  <xdr:to>
                    <xdr:col>11</xdr:col>
                    <xdr:colOff>0</xdr:colOff>
                    <xdr:row>7</xdr:row>
                    <xdr:rowOff>0</xdr:rowOff>
                  </xdr: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2"/>
  <dimension ref="A1:G64"/>
  <sheetViews>
    <sheetView workbookViewId="0"/>
  </sheetViews>
  <sheetFormatPr defaultRowHeight="18.75"/>
  <sheetData>
    <row r="2">
      <c r="F2" t="inlineStr">
        <is>
          <t>利益率</t>
        </is>
      </c>
      <c r="G2">
        <v>0.25</v>
      </c>
    </row>
    <row r="4">
      <c r="A4" t="inlineStr">
        <is>
          <t>品番</t>
        </is>
      </c>
      <c r="B4" t="inlineStr">
        <is>
          <t>品名</t>
        </is>
      </c>
      <c r="C4" t="inlineStr">
        <is>
          <t>仕様</t>
        </is>
      </c>
      <c r="D4" t="inlineStr">
        <is>
          <t>販売単価</t>
        </is>
      </c>
      <c r="E4" t="inlineStr">
        <is>
          <t>原価</t>
        </is>
      </c>
    </row>
    <row r="5">
      <c r="A5" t="inlineStr">
        <is>
          <t>P-1001</t>
        </is>
      </c>
      <c r="B5" t="inlineStr">
        <is>
          <t>精密シャフト</t>
        </is>
      </c>
      <c r="C5" t="inlineStr">
        <is>
          <t>φ10 L=120 SUS304</t>
        </is>
      </c>
      <c r="D5">
        <f t="shared" ref="D5:D64" si="0">IF(E5="","",ROUND(E5*(1+利益率),-1))</f>
      </c>
      <c r="E5">
        <v>960</v>
      </c>
    </row>
    <row r="6">
      <c r="A6" t="inlineStr">
        <is>
          <t>P-1003</t>
        </is>
      </c>
      <c r="B6" t="inlineStr">
        <is>
          <t>精密シャフト</t>
        </is>
      </c>
      <c r="C6" t="inlineStr">
        <is>
          <t>φ12 L=150 SUS304</t>
        </is>
      </c>
      <c r="D6">
        <f t="shared" si="0"/>
      </c>
      <c r="E6">
        <v>1160</v>
      </c>
    </row>
    <row r="7">
      <c r="A7" t="inlineStr">
        <is>
          <t>P-2040</t>
        </is>
      </c>
      <c r="B7" t="inlineStr">
        <is>
          <t>アルミブラケット</t>
        </is>
      </c>
      <c r="C7" t="inlineStr">
        <is>
          <t>小 A5052 アルマイト</t>
        </is>
      </c>
      <c r="D7">
        <f t="shared" si="0"/>
      </c>
      <c r="E7">
        <v>540</v>
      </c>
    </row>
    <row r="8">
      <c r="D8">
        <f t="shared" si="0"/>
      </c>
    </row>
    <row r="9">
      <c r="D9">
        <f t="shared" si="0"/>
      </c>
    </row>
    <row r="10">
      <c r="D10">
        <f t="shared" si="0"/>
      </c>
    </row>
    <row r="11">
      <c r="D11">
        <f t="shared" si="0"/>
      </c>
    </row>
    <row r="12">
      <c r="D12">
        <f t="shared" si="0"/>
      </c>
    </row>
    <row r="13">
      <c r="D13">
        <f t="shared" si="0"/>
      </c>
    </row>
    <row r="14">
      <c r="D14">
        <f t="shared" si="0"/>
      </c>
    </row>
    <row r="15">
      <c r="D15">
        <f t="shared" si="0"/>
      </c>
    </row>
    <row r="16">
      <c r="D16">
        <f t="shared" si="0"/>
      </c>
    </row>
    <row r="17">
      <c r="D17">
        <f t="shared" si="0"/>
      </c>
    </row>
    <row r="18">
      <c r="D18">
        <f t="shared" si="0"/>
      </c>
    </row>
    <row r="19">
      <c r="D19">
        <f t="shared" si="0"/>
      </c>
    </row>
    <row r="20">
      <c r="D20">
        <f t="shared" si="0"/>
      </c>
    </row>
    <row r="21">
      <c r="D21">
        <f t="shared" si="0"/>
      </c>
    </row>
    <row r="22">
      <c r="D22">
        <f t="shared" si="0"/>
      </c>
    </row>
    <row r="23">
      <c r="D23">
        <f t="shared" si="0"/>
      </c>
    </row>
    <row r="24">
      <c r="D24">
        <f t="shared" si="0"/>
      </c>
    </row>
    <row r="25">
      <c r="D25">
        <f t="shared" si="0"/>
      </c>
    </row>
    <row r="26">
      <c r="D26">
        <f t="shared" si="0"/>
      </c>
    </row>
    <row r="27">
      <c r="D27">
        <f t="shared" si="0"/>
      </c>
    </row>
    <row r="28">
      <c r="D28">
        <f t="shared" si="0"/>
      </c>
    </row>
    <row r="29">
      <c r="D29">
        <f t="shared" si="0"/>
      </c>
    </row>
    <row r="30">
      <c r="D30">
        <f t="shared" si="0"/>
      </c>
    </row>
    <row r="31">
      <c r="D31">
        <f t="shared" si="0"/>
      </c>
    </row>
    <row r="32">
      <c r="D32">
        <f t="shared" si="0"/>
      </c>
    </row>
    <row r="33">
      <c r="D33">
        <f t="shared" si="0"/>
      </c>
    </row>
    <row r="34">
      <c r="D34">
        <f t="shared" si="0"/>
      </c>
    </row>
    <row r="35">
      <c r="D35">
        <f t="shared" si="0"/>
      </c>
    </row>
    <row r="36">
      <c r="D36">
        <f t="shared" si="0"/>
      </c>
    </row>
    <row r="37">
      <c r="D37">
        <f t="shared" si="0"/>
      </c>
    </row>
    <row r="38">
      <c r="D38">
        <f t="shared" si="0"/>
      </c>
    </row>
    <row r="39">
      <c r="D39">
        <f t="shared" si="0"/>
      </c>
    </row>
    <row r="40">
      <c r="D40">
        <f t="shared" si="0"/>
      </c>
    </row>
    <row r="41">
      <c r="D41">
        <f t="shared" si="0"/>
      </c>
    </row>
    <row r="42">
      <c r="D42">
        <f t="shared" si="0"/>
      </c>
    </row>
    <row r="43">
      <c r="D43">
        <f t="shared" si="0"/>
      </c>
    </row>
    <row r="44">
      <c r="D44">
        <f t="shared" si="0"/>
      </c>
    </row>
    <row r="45">
      <c r="D45">
        <f t="shared" si="0"/>
      </c>
    </row>
    <row r="46">
      <c r="D46">
        <f t="shared" si="0"/>
      </c>
    </row>
    <row r="47">
      <c r="D47">
        <f t="shared" si="0"/>
      </c>
    </row>
    <row r="48">
      <c r="D48">
        <f t="shared" si="0"/>
      </c>
    </row>
    <row r="49">
      <c r="D49">
        <f t="shared" si="0"/>
      </c>
    </row>
    <row r="50">
      <c r="D50">
        <f t="shared" si="0"/>
      </c>
    </row>
    <row r="51">
      <c r="D51">
        <f t="shared" si="0"/>
      </c>
    </row>
    <row r="52">
      <c r="D52">
        <f t="shared" si="0"/>
      </c>
    </row>
    <row r="53">
      <c r="D53">
        <f t="shared" si="0"/>
      </c>
    </row>
    <row r="54">
      <c r="D54">
        <f t="shared" si="0"/>
      </c>
    </row>
    <row r="55">
      <c r="D55">
        <f t="shared" si="0"/>
      </c>
    </row>
    <row r="56">
      <c r="D56">
        <f t="shared" si="0"/>
      </c>
    </row>
    <row r="57">
      <c r="D57">
        <f t="shared" si="0"/>
      </c>
    </row>
    <row r="58">
      <c r="D58">
        <f t="shared" si="0"/>
      </c>
    </row>
    <row r="59">
      <c r="D59">
        <f t="shared" si="0"/>
      </c>
    </row>
    <row r="60">
      <c r="D60">
        <f t="shared" si="0"/>
      </c>
    </row>
    <row r="61">
      <c r="D61">
        <f t="shared" si="0"/>
      </c>
    </row>
    <row r="62">
      <c r="D62">
        <f t="shared" si="0"/>
      </c>
    </row>
    <row r="63">
      <c r="D63">
        <f t="shared" si="0"/>
      </c>
    </row>
    <row r="64">
      <c r="D64">
        <f t="shared" si="0"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3"/>
  <dimension ref="A1:E1"/>
  <sheetViews>
    <sheetView workbookViewId="0"/>
  </sheetViews>
  <sheetFormatPr defaultRowHeight="18.75"/>
  <sheetData>
    <row r="1">
      <c r="A1" t="inlineStr">
        <is>
          <t>見積番号</t>
        </is>
      </c>
      <c r="B1" t="inlineStr">
        <is>
          <t>見積日</t>
        </is>
      </c>
      <c r="C1" t="inlineStr">
        <is>
          <t>宛先</t>
        </is>
      </c>
      <c r="D1" t="inlineStr">
        <is>
          <t>金額(税込)</t>
        </is>
      </c>
      <c r="E1" t="inlineStr">
        <is>
          <t>PDF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DocSecurity>0</DocSecurity>
  <Company>株式会社サンプル精工</Company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見積書</dc:title>
  <dc:creator>佐藤花子</dc:creator>
  <cp:lastModifiedBy>佐藤花子</cp:lastModifiedBy>
  <dcterms:created xsi:type="dcterms:W3CDTF">2021-06-14T13:00:00Z</dcterms:created>
  <dcterms:modified xsi:type="dcterms:W3CDTF">2023-11-02T16:40:00Z</dcterms:modified>
</cp:coreProperties>
</file>