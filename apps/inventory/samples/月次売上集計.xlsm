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tyles.xml" ContentType="application/vnd.openxmlformats-officedocument.spreadsheetml.styl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 defaultThemeVersion="164011"/>
  <bookViews>
    <workbookView xWindow="0" yWindow="0" windowWidth="28800" windowHeight="12300"/>
  </bookViews>
  <sheets>
    <sheet name="集計" sheetId="1" r:id="rId1"/>
    <sheet name="東京" sheetId="2" r:id="rId2"/>
    <sheet name="大阪" sheetId="3" r:id="rId3"/>
    <sheet name="名古屋" sheetId="4" r:id="rId4"/>
    <sheet name="予算対比" sheetId="5" r:id="rId5"/>
    <sheet name="作業用" sheetId="6" state="hidden" r:id="rId6"/>
  </sheets>
  <externalReferences>
    <externalReference r:id="rId9"/>
    <externalReference r:id="rId10"/>
  </externalReferences>
  <definedNames>
    <definedName name="集計範囲">集計!$B$5:$G$9</definedName>
    <definedName name="旧名古屋2課">#REF!$A$5:$H$500</definedName>
  </definedNames>
  <calcPr calcId="191029"/>
</workbook>
</file>

<file path=xl/styles.xml><?xml version="1.0" encoding="utf-8"?>
<styleSheet xmlns="http://schemas.openxmlformats.org/spreadsheetml/2006/main">
  <fonts count="1">
    <font>
      <sz val="11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styles" Target="styles.xml"/><Relationship Id="rId8" Type="http://schemas.microsoft.com/office/2006/relationships/vbaProject" Target="vbaProject.bin"/><Relationship Id="rId9" Type="http://schemas.openxmlformats.org/officeDocument/2006/relationships/externalLink" Target="externalLinks/externalLink1.xml"/><Relationship Id="rId10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10</xdr:row>
      <xdr:rowOff>0</xdr:rowOff>
    </xdr:from>
    <xdr:to>
      <xdr:col>12</xdr:col>
      <xdr:colOff>0</xdr:colOff>
      <xdr:row>12</xdr:row>
      <xdr:rowOff>0</xdr:rowOff>
    </xdr:to>
    <xdr:sp macro="[0]!報告メール送信" textlink="">
      <xdr:nvSpPr>
        <xdr:cNvPr id="2" name="角丸四角形 1"/>
        <xdr:cNvSpPr/>
      </xdr:nvSpPr>
      <xdr:spPr>
        <a:prstGeom prst="roundRect">
          <a:avLst/>
        </a:prstGeom>
        <a:solidFill>
          <a:srgbClr val="4472C4"/>
        </a:solidFill>
      </xdr:spPr>
      <xdr:txBody>
        <a:bodyPr vertOverflow="clip" rtlCol="0" anchor="ctr"/>
        <a:lstStyle/>
        <a:p>
          <a:pPr algn="ctr"/>
          <a:r>
            <a:rPr lang="ja-JP" altLang="en-US" sz="1400">
              <a:solidFill>
                <a:srgbClr val="FFFFFF"/>
              </a:solidFill>
            </a:rPr>
            <a:t>報告メールを送る</a:t>
          </a:r>
        </a:p>
      </xdr:txBody>
    </xdr:sp>
    <xdr:clientData/>
  </xdr:twoCellAnchor>
</xdr:wsDr>
</file>

<file path=xl/externalLinks/_rels/externalLink1.xml.rels><?xml version="1.0" encoding="UTF-8" standalone="yes"?>
<Relationships xmlns="http://schemas.openxmlformats.org/package/2006/relationships"><Relationship Id="rId1" Type="http://schemas.openxmlformats.org/officeDocument/2006/relationships/externalLinkPath" Target="file:///\\fileserver01\%E7%B5%8C%E5%96%B6%E4%BC%81%E7%94%BB\%E4%BA%88%E7%AE%97\2024%E5%B9%B4%E5%BA%A6%E4%BA%88%E7%AE%97.xlsx" TargetMode="External"/></Relationships>
</file>

<file path=xl/externalLinks/_rels/externalLink2.xml.rels><?xml version="1.0" encoding="UTF-8" standalone="yes"?>
<Relationships xmlns="http://schemas.openxmlformats.org/package/2006/relationships"><Relationship Id="rId1" Type="http://schemas.openxmlformats.org/officeDocument/2006/relationships/externalLinkPath" Target="file:///C:\Users\tanaka\Documents\%E6%9C%88%E6%AC%A1\%E5%89%8D%E5%B9%B4%E5%AE%9F%E7%B8%BE.xlsx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>
  <externalBook r:id="rId1">
    <sheetNames>
      <sheetName val="予算"/>
    </sheetNames>
  </externalBook>
</externalLink>
</file>

<file path=xl/externalLinks/externalLink2.xml><?xml version="1.0" encoding="utf-8"?>
<externalLink xmlns="http://schemas.openxmlformats.org/spreadsheetml/2006/main" xmlns:r="http://schemas.openxmlformats.org/officeDocument/2006/relationships">
  <externalBook r:id="rId1">
    <sheetNames>
      <sheetName val="前年"/>
    </sheetNames>
  </externalBook>
</externalLink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dr="http://schemas.openxmlformats.org/drawingml/2006/spreadsheetDrawing" mc:Ignorable="x14">
  <sheetPr codeName="Sheet1"/>
  <dimension ref="A1:I20"/>
  <sheetViews>
    <sheetView workbookViewId="0"/>
  </sheetViews>
  <sheetFormatPr defaultRowHeight="18.75"/>
  <cols>
    <col min="2" max="2" width="16" customWidth="1"/>
  </cols>
  <sheetData>
    <row r="2">
      <c r="B2" t="inlineStr">
        <is>
          <t>対象月</t>
        </is>
      </c>
    </row>
    <row r="5">
      <c r="B5" t="inlineStr">
        <is>
          <t>営業所</t>
        </is>
      </c>
      <c r="C5" t="inlineStr">
        <is>
          <t>製品</t>
        </is>
      </c>
      <c r="D5" t="inlineStr">
        <is>
          <t>部品</t>
        </is>
      </c>
      <c r="E5" t="inlineStr">
        <is>
          <t>修理・保守</t>
        </is>
      </c>
      <c r="F5" t="inlineStr">
        <is>
          <t>合計</t>
        </is>
      </c>
      <c r="G5" t="inlineStr">
        <is>
          <t>件数</t>
        </is>
      </c>
      <c r="H5" t="inlineStr">
        <is>
          <t>構成比</t>
        </is>
      </c>
      <c r="I5" t="inlineStr">
        <is>
          <t>予算達成率</t>
        </is>
      </c>
    </row>
    <row r="6">
      <c r="B6" t="inlineStr">
        <is>
          <t>東京</t>
        </is>
      </c>
      <c r="H6">
        <f t="shared" ref="H6:H8" si="0">IF($F$9=0,0,F6/$F$9)</f>
      </c>
      <c r="I6">
        <f t="shared" ref="I6:I9" si="1">IFERROR(F6/予算対比!B6,"-")</f>
      </c>
    </row>
    <row r="7">
      <c r="B7" t="inlineStr">
        <is>
          <t>大阪</t>
        </is>
      </c>
      <c r="H7">
        <f t="shared" si="0"/>
      </c>
      <c r="I7">
        <f t="shared" si="1"/>
      </c>
    </row>
    <row r="8">
      <c r="B8" t="inlineStr">
        <is>
          <t>名古屋</t>
        </is>
      </c>
      <c r="H8">
        <f t="shared" si="0"/>
      </c>
      <c r="I8">
        <f t="shared" si="1"/>
      </c>
    </row>
    <row r="9">
      <c r="B9" t="inlineStr">
        <is>
          <t>全社</t>
        </is>
      </c>
      <c r="H9">
        <f>SUM(H6:H8)</f>
      </c>
      <c r="I9">
        <f t="shared" si="1"/>
      </c>
    </row>
    <row r="20">
      <c r="B20" t="inlineStr">
        <is>
          <t>名古屋2課(2023年に統合)</t>
        </is>
      </c>
      <c r="F20">
        <f>SUM(#REF!)</f>
      </c>
    </row>
  </sheetData>
  <pageMargins left="0.7" right="0.7" top="0.75" bottom="0.75" header="0.3" footer="0.3"/>
  <drawing r:id="rId1"/>
  <legacyDrawing r:id="rId2"/>
  <mc:AlternateContent>
    <mc:Choice Requires="x14">
      <controls>
        <mc:AlternateContent>
          <mc:Choice Requires="x14">
            <control shapeId="1025" r:id="rId3" name="Button 1">
              <controlPr defaultSize="0" print="0" autoFill="0" autoPict="0" macro="[0]!月次集計メイン">
                <anchor moveWithCells="1" sizeWithCells="1">
                  <xdr:from>
                    <xdr:col>10</xdr:col>
                    <xdr:colOff>0</xdr:colOff>
                    <xdr:row>4</xdr:row>
                    <xdr:rowOff>0</xdr:rowOff>
                  </xdr:from>
                  <xdr:to>
                    <xdr:col>12</xdr:col>
                    <xdr:colOff>0</xdr:colOff>
                    <xdr:row>6</xdr:row>
                    <xdr:rowOff>0</xdr:rowOff>
                  </xdr:to>
                </anchor>
              </controlPr>
            </control>
          </mc:Choice>
        </mc:AlternateContent>
        <mc:AlternateContent>
          <mc:Choice Requires="x14">
            <control shapeId="1026" r:id="rId4" name="Button 2">
              <controlPr defaultSize="0" print="0" autoFill="0" autoPict="0" macro="[0]!基幹システム用CSV出力">
                <anchor moveWithCells="1" sizeWithCells="1">
                  <xdr:from>
                    <xdr:col>10</xdr:col>
                    <xdr:colOff>0</xdr:colOff>
                    <xdr:row>7</xdr:row>
                    <xdr:rowOff>0</xdr:rowOff>
                  </xdr:from>
                  <xdr:to>
                    <xdr:col>12</xdr:col>
                    <xdr:colOff>0</xdr:colOff>
                    <xdr:row>9</xdr:row>
                    <xdr:rowOff>0</xdr:rowOff>
                  </xdr: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dr="http://schemas.openxmlformats.org/drawingml/2006/spreadsheetDrawing" mc:Ignorable="x14">
  <sheetPr codeName="Sheet2"/>
  <dimension ref="A1:H4"/>
  <sheetViews>
    <sheetView workbookViewId="0"/>
  </sheetViews>
  <sheetFormatPr defaultRowHeight="18.75"/>
  <sheetData>
    <row r="2">
      <c r="A2" t="inlineStr">
        <is>
          <t>東京営業所 売上明細(マクロで上書きされます)</t>
        </is>
      </c>
      <c r="G2" t="inlineStr">
        <is>
          <t>合計</t>
        </is>
      </c>
      <c r="H2">
        <f>SUM(H5:H1000)</f>
      </c>
    </row>
    <row r="4">
      <c r="A4" t="inlineStr">
        <is>
          <t>売上日</t>
        </is>
      </c>
      <c r="B4" t="inlineStr">
        <is>
          <t>得意先コード</t>
        </is>
      </c>
      <c r="C4" t="inlineStr">
        <is>
          <t>得意先名</t>
        </is>
      </c>
      <c r="D4" t="inlineStr">
        <is>
          <t>品目区分</t>
        </is>
      </c>
      <c r="E4" t="inlineStr">
        <is>
          <t>数量</t>
        </is>
      </c>
      <c r="F4" t="inlineStr">
        <is>
          <t>売上金額</t>
        </is>
      </c>
      <c r="G4" t="inlineStr">
        <is>
          <t>返品金額</t>
        </is>
      </c>
      <c r="H4" t="inlineStr">
        <is>
          <t>純売上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dr="http://schemas.openxmlformats.org/drawingml/2006/spreadsheetDrawing" mc:Ignorable="x14">
  <sheetPr codeName="Sheet3"/>
  <dimension ref="A1:H4"/>
  <sheetViews>
    <sheetView workbookViewId="0"/>
  </sheetViews>
  <sheetFormatPr defaultRowHeight="18.75"/>
  <sheetData>
    <row r="2">
      <c r="A2" t="inlineStr">
        <is>
          <t>大阪営業所 売上明細(マクロで上書きされます)</t>
        </is>
      </c>
      <c r="G2" t="inlineStr">
        <is>
          <t>合計</t>
        </is>
      </c>
      <c r="H2">
        <f>SUM(H5:H1000)</f>
      </c>
    </row>
    <row r="4">
      <c r="A4" t="inlineStr">
        <is>
          <t>売上日</t>
        </is>
      </c>
      <c r="B4" t="inlineStr">
        <is>
          <t>得意先コード</t>
        </is>
      </c>
      <c r="C4" t="inlineStr">
        <is>
          <t>得意先名</t>
        </is>
      </c>
      <c r="D4" t="inlineStr">
        <is>
          <t>品目区分</t>
        </is>
      </c>
      <c r="E4" t="inlineStr">
        <is>
          <t>数量</t>
        </is>
      </c>
      <c r="F4" t="inlineStr">
        <is>
          <t>売上金額</t>
        </is>
      </c>
      <c r="G4" t="inlineStr">
        <is>
          <t>返品金額</t>
        </is>
      </c>
      <c r="H4" t="inlineStr">
        <is>
          <t>純売上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dr="http://schemas.openxmlformats.org/drawingml/2006/spreadsheetDrawing" mc:Ignorable="x14">
  <sheetPr codeName="Sheet4"/>
  <dimension ref="A1:H4"/>
  <sheetViews>
    <sheetView workbookViewId="0"/>
  </sheetViews>
  <sheetFormatPr defaultRowHeight="18.75"/>
  <sheetData>
    <row r="2">
      <c r="A2" t="inlineStr">
        <is>
          <t>名古屋営業所 売上明細(マクロで上書きされます)</t>
        </is>
      </c>
      <c r="G2" t="inlineStr">
        <is>
          <t>合計</t>
        </is>
      </c>
      <c r="H2">
        <f>SUM(H5:H1000)</f>
      </c>
    </row>
    <row r="4">
      <c r="A4" t="inlineStr">
        <is>
          <t>売上日</t>
        </is>
      </c>
      <c r="B4" t="inlineStr">
        <is>
          <t>得意先コード</t>
        </is>
      </c>
      <c r="C4" t="inlineStr">
        <is>
          <t>得意先名</t>
        </is>
      </c>
      <c r="D4" t="inlineStr">
        <is>
          <t>品目区分</t>
        </is>
      </c>
      <c r="E4" t="inlineStr">
        <is>
          <t>数量</t>
        </is>
      </c>
      <c r="F4" t="inlineStr">
        <is>
          <t>売上金額</t>
        </is>
      </c>
      <c r="G4" t="inlineStr">
        <is>
          <t>返品金額</t>
        </is>
      </c>
      <c r="H4" t="inlineStr">
        <is>
          <t>純売上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dr="http://schemas.openxmlformats.org/drawingml/2006/spreadsheetDrawing" mc:Ignorable="x14">
  <sheetPr codeName="Sheet5"/>
  <dimension ref="A1:M12"/>
  <sheetViews>
    <sheetView workbookViewId="0"/>
  </sheetViews>
  <sheetFormatPr defaultRowHeight="18.75"/>
  <sheetData>
    <row r="5">
      <c r="A5" t="inlineStr">
        <is>
          <t>営業所</t>
        </is>
      </c>
      <c r="B5" t="inlineStr">
        <is>
          <t>予算</t>
        </is>
      </c>
      <c r="C5" t="inlineStr">
        <is>
          <t>実績</t>
        </is>
      </c>
      <c r="D5" t="inlineStr">
        <is>
          <t>達成率</t>
        </is>
      </c>
      <c r="E5" t="inlineStr">
        <is>
          <t>前年実績</t>
        </is>
      </c>
      <c r="F5" t="inlineStr">
        <is>
          <t>前年比</t>
        </is>
      </c>
    </row>
    <row r="6">
      <c r="A6" t="inlineStr">
        <is>
          <t>東京</t>
        </is>
      </c>
      <c r="B6">
        <f t="shared" ref="B6:B8" si="0">[1]予算!$C5</f>
      </c>
      <c r="C6">
        <f t="shared" ref="C6:C8" si="1">集計!F6</f>
      </c>
      <c r="D6">
        <f t="shared" ref="D6:D9" si="2">IF(B6=0,"-",C6/B6)</f>
      </c>
      <c r="E6">
        <f t="shared" ref="E6:E8" si="3">[2]前年!F6</f>
      </c>
      <c r="F6">
        <f t="shared" ref="F6:F9" si="4">IF(E6=0,"-",C6/E6)</f>
      </c>
    </row>
    <row r="7">
      <c r="A7" t="inlineStr">
        <is>
          <t>大阪</t>
        </is>
      </c>
      <c r="B7">
        <f t="shared" si="0"/>
      </c>
      <c r="C7">
        <f t="shared" si="1"/>
      </c>
      <c r="D7">
        <f t="shared" si="2"/>
      </c>
      <c r="E7">
        <f t="shared" si="3"/>
      </c>
      <c r="F7">
        <f t="shared" si="4"/>
      </c>
    </row>
    <row r="8">
      <c r="A8" t="inlineStr">
        <is>
          <t>名古屋</t>
        </is>
      </c>
      <c r="B8">
        <f t="shared" si="0"/>
      </c>
      <c r="C8">
        <f t="shared" si="1"/>
      </c>
      <c r="D8">
        <f t="shared" si="2"/>
      </c>
      <c r="E8">
        <f t="shared" si="3"/>
      </c>
      <c r="F8">
        <f t="shared" si="4"/>
      </c>
    </row>
    <row r="9">
      <c r="A9" t="inlineStr">
        <is>
          <t>全社</t>
        </is>
      </c>
      <c r="B9">
        <f>SUM(B6:B8)</f>
      </c>
      <c r="C9">
        <f>SUM(C6:C8)</f>
      </c>
      <c r="D9">
        <f t="shared" si="2"/>
      </c>
      <c r="E9">
        <f>SUM(E6:E8)</f>
      </c>
      <c r="F9">
        <f t="shared" si="4"/>
      </c>
    </row>
    <row r="11">
      <c r="A11" t="inlineStr">
        <is>
          <t>月別予算</t>
        </is>
      </c>
    </row>
    <row r="12">
      <c r="B12">
        <f t="shared" ref="B12:M12" si="5">[1]予算!D10</f>
      </c>
      <c r="C12">
        <f t="shared" si="5"/>
      </c>
      <c r="D12">
        <f t="shared" si="5"/>
      </c>
      <c r="E12">
        <f t="shared" si="5"/>
      </c>
      <c r="F12">
        <f t="shared" si="5"/>
      </c>
      <c r="G12">
        <f t="shared" si="5"/>
      </c>
      <c r="H12">
        <f t="shared" si="5"/>
      </c>
      <c r="I12">
        <f t="shared" si="5"/>
      </c>
      <c r="J12">
        <f t="shared" si="5"/>
      </c>
      <c r="K12">
        <f t="shared" si="5"/>
      </c>
      <c r="L12">
        <f t="shared" si="5"/>
      </c>
      <c r="M12">
        <f t="shared" si="5"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dr="http://schemas.openxmlformats.org/drawingml/2006/spreadsheetDrawing" mc:Ignorable="x14">
  <sheetPr codeName="Sheet6"/>
  <dimension ref="A1:C1"/>
  <sheetViews>
    <sheetView workbookViewId="0"/>
  </sheetViews>
  <sheetFormatPr defaultRowHeight="18.75"/>
  <sheetData>
    <row r="1">
      <c r="A1" t="inlineStr">
        <is>
          <t>対象月</t>
        </is>
      </c>
      <c r="B1" t="inlineStr">
        <is>
          <t>全社合計</t>
        </is>
      </c>
      <c r="C1" t="inlineStr">
        <is>
          <t>前月(営業所別)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DocSecurity>0</DocSecurity>
  <Company>株式会社サンプル精工</Company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>月次売上集計</dc:title>
  <dc:creator>田中一郎</dc:creator>
  <cp:lastModifiedBy>田中一郎</cp:lastModifiedBy>
  <dcterms:created xsi:type="dcterms:W3CDTF">2016-05-10T10:03:00Z</dcterms:created>
  <dcterms:modified xsi:type="dcterms:W3CDTF">2024-04-08T19:20:00Z</dcterms:modified>
</cp:coreProperties>
</file>